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isay6/Desktop/VIBOASESOR/"/>
    </mc:Choice>
  </mc:AlternateContent>
  <xr:revisionPtr revIDLastSave="0" documentId="8_{E869E521-E8E2-A440-BB09-DD4DCBE5CBD6}" xr6:coauthVersionLast="47" xr6:coauthVersionMax="47" xr10:uidLastSave="{00000000-0000-0000-0000-000000000000}"/>
  <bookViews>
    <workbookView xWindow="0" yWindow="600" windowWidth="28800" windowHeight="15720" xr2:uid="{00000000-000D-0000-FFFF-FFFF00000000}"/>
  </bookViews>
  <sheets>
    <sheet name="Factura_" sheetId="3" r:id="rId1"/>
  </sheets>
  <definedNames>
    <definedName name="_xlnm.Print_Area" localSheetId="0">Factura_!$A$1:$J$44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7" i="3" l="1"/>
  <c r="A35" i="3"/>
  <c r="D35" i="3" s="1"/>
  <c r="H36" i="3" s="1"/>
  <c r="C36" i="3" l="1"/>
  <c r="F36" i="3"/>
  <c r="I35" i="3" s="1"/>
</calcChain>
</file>

<file path=xl/sharedStrings.xml><?xml version="1.0" encoding="utf-8"?>
<sst xmlns="http://schemas.openxmlformats.org/spreadsheetml/2006/main" count="40" uniqueCount="36">
  <si>
    <t>FACTURA</t>
  </si>
  <si>
    <t>TOTAL</t>
  </si>
  <si>
    <t>Factura</t>
  </si>
  <si>
    <t>Fecha</t>
  </si>
  <si>
    <t>Nº Cliente</t>
  </si>
  <si>
    <t>Forma de Pago</t>
  </si>
  <si>
    <t>Referencia</t>
  </si>
  <si>
    <t>Conceptos</t>
  </si>
  <si>
    <t>Cantidad</t>
  </si>
  <si>
    <t>Precio</t>
  </si>
  <si>
    <t>Dto.</t>
  </si>
  <si>
    <t>IMPORTE</t>
  </si>
  <si>
    <t>Suma Neto</t>
  </si>
  <si>
    <t>Descuento</t>
  </si>
  <si>
    <t>Base Imponible</t>
  </si>
  <si>
    <t>I.V.A</t>
  </si>
  <si>
    <t>%</t>
  </si>
  <si>
    <t>Importe</t>
  </si>
  <si>
    <t>CONTADO</t>
  </si>
  <si>
    <t>Ret. IRPF</t>
  </si>
  <si>
    <t>POBLACIÓN: Ourense</t>
  </si>
  <si>
    <t>PROVINCIA: Ourense</t>
  </si>
  <si>
    <t>NOMBRE: xxxxxxxxxxxxx</t>
  </si>
  <si>
    <t>DIRECCIÓN: Ourense</t>
  </si>
  <si>
    <t>C.P.: xxxxxxx</t>
  </si>
  <si>
    <t>NIF: xxxxxxxxxxxx</t>
  </si>
  <si>
    <t xml:space="preserve">comunicar la información a terceros. Puede ejercer sus derechos de acceso, rectificación, cancelación o supresión del tratamiento a través del correo </t>
  </si>
  <si>
    <t xml:space="preserve">En vista del cumplimiento de la normativa europea 2016/679 sobre Protección datos (RGPD) le informamos que el tratamiento de los datos proporcionados </t>
  </si>
  <si>
    <t xml:space="preserve"> Sonia Fidalgo García</t>
  </si>
  <si>
    <t xml:space="preserve">  Aldea Pexeiros nº 41 (Viana do Bolo), 32563 </t>
  </si>
  <si>
    <t xml:space="preserve">   Teléfono:619 884 501</t>
  </si>
  <si>
    <t xml:space="preserve">  CIF: 71509178Q</t>
  </si>
  <si>
    <t>F-2026/001</t>
  </si>
  <si>
    <t>Comisiones de venta mes de abril</t>
  </si>
  <si>
    <t xml:space="preserve">por Ud. será responsabilidad de Sonis Fidalgo García con el objetivo de la gestrión de facturación, y que además se compromete a no ceder o </t>
  </si>
  <si>
    <t>electrónico: rodrigfidalgo@hotmail.com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</si>
</sst>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@\ \ "/>
    <numFmt numFmtId="165" formatCode="_(&quot;€&quot;* #,##0.00_);_(&quot;€&quot;* \(#,##0.00\);_(&quot;€&quot;* &quot;-&quot;??_);_(@_)"/>
    <numFmt numFmtId="166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28"/>
      <color indexed="55"/>
      <name val="Arial Black"/>
      <family val="2"/>
    </font>
    <font>
      <sz val="10"/>
      <name val="Arial"/>
      <family val="2"/>
    </font>
    <font>
      <sz val="7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7"/>
      <color rgb="FF000000"/>
      <name val="Arial"/>
      <family val="2"/>
    </font>
    <font>
      <b/>
      <sz val="10"/>
      <color rgb="FF000000"/>
      <name val="Arial"/>
      <family val="2"/>
    </font>
    <font>
      <sz val="9"/>
      <color rgb="FF444444"/>
      <name val="Arial"/>
      <family val="2"/>
    </font>
    <font>
      <b/>
      <sz val="12"/>
      <name val="Arial"/>
      <family val="2"/>
    </font>
    <font>
      <b/>
      <i/>
      <sz val="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0" fillId="0" borderId="0" xfId="0" applyAlignment="1">
      <alignment horizontal="right"/>
    </xf>
    <xf numFmtId="0" fontId="3" fillId="0" borderId="0" xfId="0" applyFont="1"/>
    <xf numFmtId="0" fontId="4" fillId="0" borderId="0" xfId="0" applyFont="1" applyAlignment="1">
      <alignment horizontal="right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7" fillId="0" borderId="0" xfId="0" applyFont="1"/>
    <xf numFmtId="0" fontId="9" fillId="0" borderId="0" xfId="0" applyFont="1"/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center" vertical="center"/>
    </xf>
    <xf numFmtId="0" fontId="12" fillId="0" borderId="0" xfId="0" applyFont="1" applyAlignment="1">
      <alignment horizontal="left" readingOrder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3" borderId="0" xfId="0" applyNumberForma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166" fontId="0" fillId="0" borderId="0" xfId="0" applyNumberFormat="1" applyAlignment="1">
      <alignment horizontal="right" vertical="center"/>
    </xf>
    <xf numFmtId="165" fontId="4" fillId="0" borderId="0" xfId="0" applyNumberFormat="1" applyFont="1" applyAlignment="1">
      <alignment horizontal="center" vertical="center"/>
    </xf>
    <xf numFmtId="166" fontId="10" fillId="3" borderId="0" xfId="0" applyNumberFormat="1" applyFont="1" applyFill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6" fontId="4" fillId="0" borderId="10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9" fontId="4" fillId="0" borderId="11" xfId="0" applyNumberFormat="1" applyFont="1" applyBorder="1" applyAlignment="1">
      <alignment horizontal="center" vertical="center"/>
    </xf>
    <xf numFmtId="166" fontId="4" fillId="0" borderId="12" xfId="0" applyNumberFormat="1" applyFont="1" applyBorder="1" applyAlignment="1">
      <alignment horizontal="center" vertical="center"/>
    </xf>
    <xf numFmtId="166" fontId="4" fillId="0" borderId="13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166" fontId="4" fillId="0" borderId="19" xfId="0" applyNumberFormat="1" applyFont="1" applyBorder="1" applyAlignment="1">
      <alignment horizontal="center" vertical="center"/>
    </xf>
    <xf numFmtId="166" fontId="0" fillId="0" borderId="7" xfId="0" applyNumberFormat="1" applyBorder="1"/>
    <xf numFmtId="164" fontId="9" fillId="0" borderId="1" xfId="0" applyNumberFormat="1" applyFont="1" applyBorder="1" applyAlignment="1">
      <alignment horizontal="right" vertical="center"/>
    </xf>
    <xf numFmtId="0" fontId="0" fillId="0" borderId="7" xfId="0" applyBorder="1" applyAlignment="1">
      <alignment horizontal="center"/>
    </xf>
    <xf numFmtId="0" fontId="14" fillId="0" borderId="0" xfId="0" applyFont="1"/>
    <xf numFmtId="0" fontId="1" fillId="0" borderId="0" xfId="0" applyFont="1"/>
    <xf numFmtId="0" fontId="15" fillId="0" borderId="0" xfId="0" applyFont="1" applyAlignment="1">
      <alignment horizontal="left" vertical="center"/>
    </xf>
    <xf numFmtId="0" fontId="16" fillId="0" borderId="0" xfId="0" applyFont="1"/>
    <xf numFmtId="0" fontId="1" fillId="0" borderId="7" xfId="0" applyFont="1" applyBorder="1" applyAlignment="1">
      <alignment horizontal="center" vertical="center"/>
    </xf>
    <xf numFmtId="166" fontId="10" fillId="3" borderId="22" xfId="0" applyNumberFormat="1" applyFont="1" applyFill="1" applyBorder="1" applyAlignment="1">
      <alignment horizontal="center" vertical="center"/>
    </xf>
    <xf numFmtId="166" fontId="10" fillId="3" borderId="2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left" readingOrder="1"/>
    </xf>
    <xf numFmtId="0" fontId="4" fillId="0" borderId="16" xfId="0" applyFont="1" applyBorder="1" applyAlignment="1">
      <alignment horizontal="left" vertical="center"/>
    </xf>
    <xf numFmtId="0" fontId="4" fillId="0" borderId="30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166" fontId="11" fillId="0" borderId="24" xfId="0" applyNumberFormat="1" applyFont="1" applyBorder="1" applyAlignment="1">
      <alignment horizontal="center" vertical="center"/>
    </xf>
    <xf numFmtId="166" fontId="11" fillId="0" borderId="25" xfId="0" applyNumberFormat="1" applyFont="1" applyBorder="1" applyAlignment="1">
      <alignment horizontal="center" vertical="center"/>
    </xf>
    <xf numFmtId="166" fontId="11" fillId="0" borderId="12" xfId="0" applyNumberFormat="1" applyFont="1" applyBorder="1" applyAlignment="1">
      <alignment horizontal="center" vertical="center"/>
    </xf>
    <xf numFmtId="166" fontId="11" fillId="0" borderId="26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4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40" xfId="0" applyFont="1" applyBorder="1" applyAlignment="1">
      <alignment horizontal="left" vertical="top"/>
    </xf>
    <xf numFmtId="0" fontId="4" fillId="0" borderId="41" xfId="0" applyFont="1" applyBorder="1" applyAlignment="1">
      <alignment horizontal="left" vertical="top"/>
    </xf>
    <xf numFmtId="0" fontId="4" fillId="0" borderId="42" xfId="0" applyFont="1" applyBorder="1" applyAlignment="1">
      <alignment horizontal="left" vertical="top"/>
    </xf>
    <xf numFmtId="0" fontId="4" fillId="2" borderId="31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2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4" fillId="0" borderId="39" xfId="0" applyFont="1" applyBorder="1" applyAlignment="1">
      <alignment horizontal="left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4" fillId="0" borderId="14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36" xfId="0" applyFont="1" applyBorder="1" applyAlignment="1">
      <alignment horizontal="left" vertical="top"/>
    </xf>
    <xf numFmtId="0" fontId="4" fillId="0" borderId="2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14" fontId="4" fillId="0" borderId="43" xfId="0" applyNumberFormat="1" applyFont="1" applyBorder="1" applyAlignment="1">
      <alignment horizontal="center" vertical="center"/>
    </xf>
    <xf numFmtId="14" fontId="4" fillId="0" borderId="44" xfId="0" applyNumberFormat="1" applyFont="1" applyBorder="1" applyAlignment="1">
      <alignment horizontal="center" vertical="center"/>
    </xf>
    <xf numFmtId="14" fontId="4" fillId="0" borderId="16" xfId="0" applyNumberFormat="1" applyFont="1" applyBorder="1" applyAlignment="1">
      <alignment horizontal="center" vertical="center"/>
    </xf>
    <xf numFmtId="14" fontId="4" fillId="0" borderId="17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42</xdr:row>
      <xdr:rowOff>9525</xdr:rowOff>
    </xdr:from>
    <xdr:to>
      <xdr:col>10</xdr:col>
      <xdr:colOff>0</xdr:colOff>
      <xdr:row>43</xdr:row>
      <xdr:rowOff>0</xdr:rowOff>
    </xdr:to>
    <xdr:sp macro="" textlink="">
      <xdr:nvSpPr>
        <xdr:cNvPr id="4097" name="Text Box 1">
          <a:extLst>
            <a:ext uri="{FF2B5EF4-FFF2-40B4-BE49-F238E27FC236}">
              <a16:creationId xmlns:a16="http://schemas.microsoft.com/office/drawing/2014/main" id="{C2F27364-C7D1-4802-B36F-34FFEE8918F1}"/>
            </a:ext>
          </a:extLst>
        </xdr:cNvPr>
        <xdr:cNvSpPr txBox="1">
          <a:spLocks noChangeArrowheads="1"/>
        </xdr:cNvSpPr>
      </xdr:nvSpPr>
      <xdr:spPr bwMode="auto">
        <a:xfrm>
          <a:off x="9525" y="9620250"/>
          <a:ext cx="6496050" cy="1524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showGridLines="0" tabSelected="1" view="pageBreakPreview" zoomScaleNormal="100" zoomScaleSheetLayoutView="100" workbookViewId="0">
      <selection activeCell="O8" sqref="O8"/>
    </sheetView>
  </sheetViews>
  <sheetFormatPr baseColWidth="10" defaultColWidth="9.1640625" defaultRowHeight="13" x14ac:dyDescent="0.15"/>
  <cols>
    <col min="1" max="1" width="13" customWidth="1"/>
    <col min="2" max="2" width="6.5" customWidth="1"/>
    <col min="3" max="3" width="7.33203125" customWidth="1"/>
    <col min="4" max="4" width="15.1640625" customWidth="1"/>
    <col min="5" max="5" width="4.83203125" customWidth="1"/>
    <col min="6" max="6" width="11" customWidth="1"/>
    <col min="7" max="7" width="10.5" customWidth="1"/>
    <col min="8" max="8" width="8.33203125" customWidth="1"/>
    <col min="9" max="9" width="17.6640625" customWidth="1"/>
    <col min="10" max="10" width="1.33203125" customWidth="1"/>
    <col min="11" max="11" width="2.6640625" customWidth="1"/>
  </cols>
  <sheetData>
    <row r="1" spans="1:11" ht="58.5" customHeight="1" x14ac:dyDescent="0.65">
      <c r="A1" s="13"/>
      <c r="B1" s="13"/>
      <c r="C1" s="13"/>
      <c r="D1" s="13"/>
      <c r="E1" s="1"/>
      <c r="F1" s="1"/>
      <c r="G1" s="1"/>
      <c r="J1" s="7" t="s">
        <v>0</v>
      </c>
      <c r="K1" s="7"/>
    </row>
    <row r="2" spans="1:11" ht="11.25" customHeight="1" x14ac:dyDescent="0.65">
      <c r="A2" s="13"/>
      <c r="B2" s="13"/>
      <c r="C2" s="13"/>
      <c r="D2" s="13"/>
      <c r="E2" s="1"/>
      <c r="F2" s="1"/>
      <c r="G2" s="1"/>
      <c r="J2" s="7"/>
      <c r="K2" s="7"/>
    </row>
    <row r="3" spans="1:11" ht="26.25" customHeight="1" x14ac:dyDescent="0.65">
      <c r="A3" s="54" t="s">
        <v>28</v>
      </c>
      <c r="B3" s="13"/>
      <c r="C3" s="13"/>
      <c r="D3" s="13"/>
      <c r="E3" s="1"/>
      <c r="F3" s="1"/>
      <c r="G3" s="1"/>
      <c r="J3" s="7"/>
      <c r="K3" s="7"/>
    </row>
    <row r="4" spans="1:11" ht="12" customHeight="1" x14ac:dyDescent="0.15">
      <c r="A4" s="38" t="s">
        <v>29</v>
      </c>
      <c r="B4" s="38"/>
      <c r="C4" s="38"/>
      <c r="D4" s="38"/>
      <c r="E4" s="3"/>
      <c r="F4" s="3"/>
      <c r="G4" s="3"/>
    </row>
    <row r="5" spans="1:11" x14ac:dyDescent="0.15">
      <c r="A5" s="12" t="s">
        <v>30</v>
      </c>
      <c r="B5" s="12"/>
      <c r="C5" s="12"/>
      <c r="D5" s="12"/>
    </row>
    <row r="6" spans="1:11" x14ac:dyDescent="0.15">
      <c r="A6" s="53" t="s">
        <v>31</v>
      </c>
      <c r="E6" s="13"/>
      <c r="F6" s="13"/>
      <c r="G6" s="13"/>
      <c r="H6" s="8"/>
      <c r="I6" s="8"/>
    </row>
    <row r="7" spans="1:11" ht="14" thickBot="1" x14ac:dyDescent="0.2"/>
    <row r="8" spans="1:11" ht="14" thickBot="1" x14ac:dyDescent="0.2">
      <c r="A8" s="9"/>
      <c r="B8" s="9"/>
      <c r="C8" s="9"/>
      <c r="D8" s="9"/>
      <c r="E8" s="9"/>
      <c r="F8" s="83" t="s">
        <v>22</v>
      </c>
      <c r="G8" s="84"/>
      <c r="H8" s="84"/>
      <c r="I8" s="85"/>
    </row>
    <row r="9" spans="1:11" x14ac:dyDescent="0.15">
      <c r="A9" s="27" t="s">
        <v>2</v>
      </c>
      <c r="B9" s="86" t="s">
        <v>3</v>
      </c>
      <c r="C9" s="87"/>
      <c r="D9" s="28" t="s">
        <v>4</v>
      </c>
      <c r="E9" s="6"/>
      <c r="F9" s="88" t="s">
        <v>23</v>
      </c>
      <c r="G9" s="89"/>
      <c r="H9" s="89"/>
      <c r="I9" s="90"/>
    </row>
    <row r="10" spans="1:11" x14ac:dyDescent="0.15">
      <c r="A10" s="91" t="s">
        <v>32</v>
      </c>
      <c r="B10" s="93">
        <v>46129</v>
      </c>
      <c r="C10" s="94"/>
      <c r="D10" s="97"/>
      <c r="E10" s="14"/>
      <c r="F10" s="88" t="s">
        <v>24</v>
      </c>
      <c r="G10" s="89"/>
      <c r="H10" s="89" t="s">
        <v>25</v>
      </c>
      <c r="I10" s="90"/>
    </row>
    <row r="11" spans="1:11" x14ac:dyDescent="0.15">
      <c r="A11" s="92"/>
      <c r="B11" s="95"/>
      <c r="C11" s="96"/>
      <c r="D11" s="98"/>
      <c r="E11" s="14"/>
      <c r="F11" s="88" t="s">
        <v>20</v>
      </c>
      <c r="G11" s="89"/>
      <c r="H11" s="89"/>
      <c r="I11" s="90"/>
    </row>
    <row r="12" spans="1:11" ht="14" thickBot="1" x14ac:dyDescent="0.2">
      <c r="A12" s="73" t="s">
        <v>5</v>
      </c>
      <c r="B12" s="74"/>
      <c r="C12" s="75" t="s">
        <v>18</v>
      </c>
      <c r="D12" s="76"/>
      <c r="E12" s="4"/>
      <c r="F12" s="77" t="s">
        <v>21</v>
      </c>
      <c r="G12" s="78"/>
      <c r="H12" s="78"/>
      <c r="I12" s="79"/>
    </row>
    <row r="13" spans="1:11" x14ac:dyDescent="0.15">
      <c r="A13" s="4"/>
      <c r="B13" s="4"/>
      <c r="C13" s="4"/>
      <c r="D13" s="4"/>
      <c r="E13" s="4"/>
      <c r="F13" s="4"/>
      <c r="G13" s="4"/>
      <c r="H13" s="2"/>
      <c r="I13" s="2"/>
    </row>
    <row r="15" spans="1:11" ht="14" thickBot="1" x14ac:dyDescent="0.2"/>
    <row r="16" spans="1:11" s="5" customFormat="1" ht="20" customHeight="1" x14ac:dyDescent="0.15">
      <c r="A16" s="20" t="s">
        <v>6</v>
      </c>
      <c r="B16" s="80" t="s">
        <v>7</v>
      </c>
      <c r="C16" s="81"/>
      <c r="D16" s="81"/>
      <c r="E16" s="82"/>
      <c r="F16" s="21" t="s">
        <v>8</v>
      </c>
      <c r="G16" s="47" t="s">
        <v>9</v>
      </c>
      <c r="H16" s="22" t="s">
        <v>10</v>
      </c>
      <c r="I16" s="23" t="s">
        <v>11</v>
      </c>
      <c r="K16" s="29"/>
    </row>
    <row r="17" spans="1:11" s="5" customFormat="1" ht="20" customHeight="1" x14ac:dyDescent="0.15">
      <c r="A17" s="36"/>
      <c r="B17" s="70" t="s">
        <v>33</v>
      </c>
      <c r="C17" s="71"/>
      <c r="D17" s="71"/>
      <c r="E17" s="72"/>
      <c r="F17" s="43">
        <v>6</v>
      </c>
      <c r="G17" s="40">
        <v>200</v>
      </c>
      <c r="H17" s="39"/>
      <c r="I17" s="37">
        <f>F17*G17</f>
        <v>1200</v>
      </c>
      <c r="K17" s="30"/>
    </row>
    <row r="18" spans="1:11" s="5" customFormat="1" ht="20" customHeight="1" x14ac:dyDescent="0.15">
      <c r="A18" s="42"/>
      <c r="B18" s="70"/>
      <c r="C18" s="71"/>
      <c r="D18" s="71"/>
      <c r="E18" s="72"/>
      <c r="F18" s="43"/>
      <c r="G18" s="41"/>
      <c r="H18" s="39"/>
      <c r="I18" s="37"/>
      <c r="K18" s="30"/>
    </row>
    <row r="19" spans="1:11" s="5" customFormat="1" ht="20" customHeight="1" x14ac:dyDescent="0.15">
      <c r="A19" s="36"/>
      <c r="B19" s="70"/>
      <c r="C19" s="71"/>
      <c r="D19" s="71"/>
      <c r="E19" s="72"/>
      <c r="F19" s="43"/>
      <c r="G19" s="41"/>
      <c r="H19" s="39"/>
      <c r="I19" s="37"/>
      <c r="K19" s="30"/>
    </row>
    <row r="20" spans="1:11" s="5" customFormat="1" ht="20" customHeight="1" x14ac:dyDescent="0.15">
      <c r="A20" s="36"/>
      <c r="B20" s="70"/>
      <c r="C20" s="71"/>
      <c r="D20" s="71"/>
      <c r="E20" s="72"/>
      <c r="F20" s="43"/>
      <c r="G20" s="41"/>
      <c r="H20" s="39"/>
      <c r="I20" s="37"/>
      <c r="K20" s="30"/>
    </row>
    <row r="21" spans="1:11" s="5" customFormat="1" ht="20" customHeight="1" x14ac:dyDescent="0.15">
      <c r="A21" s="36"/>
      <c r="B21" s="70"/>
      <c r="C21" s="71"/>
      <c r="D21" s="71"/>
      <c r="E21" s="72"/>
      <c r="F21" s="43"/>
      <c r="G21" s="41"/>
      <c r="H21" s="39"/>
      <c r="I21" s="37"/>
      <c r="K21" s="30"/>
    </row>
    <row r="22" spans="1:11" s="5" customFormat="1" ht="20" customHeight="1" x14ac:dyDescent="0.15">
      <c r="A22" s="36"/>
      <c r="B22" s="70"/>
      <c r="C22" s="71"/>
      <c r="D22" s="71"/>
      <c r="E22" s="72"/>
      <c r="F22" s="43"/>
      <c r="G22" s="41"/>
      <c r="H22" s="45"/>
      <c r="I22" s="37"/>
      <c r="K22" s="30"/>
    </row>
    <row r="23" spans="1:11" s="5" customFormat="1" ht="20" customHeight="1" x14ac:dyDescent="0.15">
      <c r="A23" s="36"/>
      <c r="B23" s="70"/>
      <c r="C23" s="71"/>
      <c r="D23" s="71"/>
      <c r="E23" s="72"/>
      <c r="F23" s="43"/>
      <c r="G23" s="41"/>
      <c r="H23" s="39"/>
      <c r="I23" s="37"/>
      <c r="K23" s="30"/>
    </row>
    <row r="24" spans="1:11" s="5" customFormat="1" ht="20" customHeight="1" x14ac:dyDescent="0.15">
      <c r="A24" s="34"/>
      <c r="B24" s="70"/>
      <c r="C24" s="71"/>
      <c r="D24" s="71"/>
      <c r="E24" s="72"/>
      <c r="F24" s="43"/>
      <c r="G24" s="41"/>
      <c r="H24" s="45"/>
      <c r="I24" s="37"/>
      <c r="K24" s="30"/>
    </row>
    <row r="25" spans="1:11" s="5" customFormat="1" ht="20" customHeight="1" x14ac:dyDescent="0.15">
      <c r="A25" s="34"/>
      <c r="B25" s="70"/>
      <c r="C25" s="71"/>
      <c r="D25" s="71"/>
      <c r="E25" s="72"/>
      <c r="F25" s="43"/>
      <c r="G25" s="41"/>
      <c r="H25" s="45"/>
      <c r="I25" s="37"/>
      <c r="K25" s="30"/>
    </row>
    <row r="26" spans="1:11" s="5" customFormat="1" ht="20" customHeight="1" x14ac:dyDescent="0.15">
      <c r="A26" s="34"/>
      <c r="B26" s="70"/>
      <c r="C26" s="71"/>
      <c r="D26" s="71"/>
      <c r="E26" s="72"/>
      <c r="F26" s="43"/>
      <c r="G26" s="41"/>
      <c r="H26" s="45"/>
      <c r="I26" s="37"/>
      <c r="K26" s="30"/>
    </row>
    <row r="27" spans="1:11" s="5" customFormat="1" ht="20" customHeight="1" x14ac:dyDescent="0.15">
      <c r="A27" s="34"/>
      <c r="B27" s="70"/>
      <c r="C27" s="71"/>
      <c r="D27" s="71"/>
      <c r="E27" s="72"/>
      <c r="F27" s="43"/>
      <c r="G27" s="41"/>
      <c r="H27" s="45"/>
      <c r="I27" s="37"/>
      <c r="K27" s="30"/>
    </row>
    <row r="28" spans="1:11" s="5" customFormat="1" ht="20" customHeight="1" x14ac:dyDescent="0.15">
      <c r="A28" s="34"/>
      <c r="B28" s="70"/>
      <c r="C28" s="71"/>
      <c r="D28" s="71"/>
      <c r="E28" s="72"/>
      <c r="F28" s="43"/>
      <c r="G28" s="41"/>
      <c r="H28" s="45"/>
      <c r="I28" s="37"/>
      <c r="K28" s="30"/>
    </row>
    <row r="29" spans="1:11" s="5" customFormat="1" ht="20" customHeight="1" x14ac:dyDescent="0.15">
      <c r="A29" s="34"/>
      <c r="B29" s="70"/>
      <c r="C29" s="71"/>
      <c r="D29" s="71"/>
      <c r="E29" s="72"/>
      <c r="F29" s="43"/>
      <c r="G29" s="41"/>
      <c r="H29" s="45"/>
      <c r="I29" s="37"/>
      <c r="K29" s="30"/>
    </row>
    <row r="30" spans="1:11" s="5" customFormat="1" ht="20" customHeight="1" x14ac:dyDescent="0.15">
      <c r="A30" s="34"/>
      <c r="B30" s="70"/>
      <c r="C30" s="71"/>
      <c r="D30" s="71"/>
      <c r="E30" s="72"/>
      <c r="F30" s="43"/>
      <c r="G30" s="41"/>
      <c r="H30" s="45"/>
      <c r="I30" s="37"/>
      <c r="K30" s="30"/>
    </row>
    <row r="31" spans="1:11" s="5" customFormat="1" ht="20" customHeight="1" x14ac:dyDescent="0.15">
      <c r="A31" s="34"/>
      <c r="B31" s="70"/>
      <c r="C31" s="71"/>
      <c r="D31" s="71"/>
      <c r="E31" s="72"/>
      <c r="F31" s="43"/>
      <c r="G31" s="41"/>
      <c r="H31" s="45"/>
      <c r="I31" s="37"/>
      <c r="K31" s="30"/>
    </row>
    <row r="32" spans="1:11" s="5" customFormat="1" ht="20" customHeight="1" x14ac:dyDescent="0.15">
      <c r="A32" s="34"/>
      <c r="B32" s="70"/>
      <c r="C32" s="71"/>
      <c r="D32" s="71"/>
      <c r="E32" s="72"/>
      <c r="F32" s="43"/>
      <c r="G32" s="41"/>
      <c r="H32" s="45"/>
      <c r="I32" s="37"/>
      <c r="K32" s="30"/>
    </row>
    <row r="33" spans="1:11" s="5" customFormat="1" ht="20" customHeight="1" x14ac:dyDescent="0.15">
      <c r="A33" s="35"/>
      <c r="B33" s="60"/>
      <c r="C33" s="61"/>
      <c r="D33" s="61"/>
      <c r="E33" s="62"/>
      <c r="F33" s="44"/>
      <c r="G33" s="48"/>
      <c r="H33" s="46"/>
      <c r="I33" s="37"/>
      <c r="K33" s="30"/>
    </row>
    <row r="34" spans="1:11" s="5" customFormat="1" ht="20" customHeight="1" x14ac:dyDescent="0.15">
      <c r="A34" s="24" t="s">
        <v>12</v>
      </c>
      <c r="B34" s="63" t="s">
        <v>13</v>
      </c>
      <c r="C34" s="64"/>
      <c r="D34" s="16" t="s">
        <v>14</v>
      </c>
      <c r="E34" s="63" t="s">
        <v>15</v>
      </c>
      <c r="F34" s="64"/>
      <c r="G34" s="65" t="s">
        <v>19</v>
      </c>
      <c r="H34" s="64"/>
      <c r="I34" s="25" t="s">
        <v>1</v>
      </c>
      <c r="K34" s="31"/>
    </row>
    <row r="35" spans="1:11" s="5" customFormat="1" ht="20" customHeight="1" x14ac:dyDescent="0.15">
      <c r="A35" s="66">
        <f>SUM(I17:I33)</f>
        <v>1200</v>
      </c>
      <c r="B35" s="17" t="s">
        <v>16</v>
      </c>
      <c r="C35" s="17" t="s">
        <v>17</v>
      </c>
      <c r="D35" s="68">
        <f>A35 -( A35*(B36/100))</f>
        <v>1200</v>
      </c>
      <c r="E35" s="17" t="s">
        <v>16</v>
      </c>
      <c r="F35" s="17" t="s">
        <v>17</v>
      </c>
      <c r="G35" s="17" t="s">
        <v>16</v>
      </c>
      <c r="H35" s="50" t="s">
        <v>17</v>
      </c>
      <c r="I35" s="57">
        <f>D35+F36-H36</f>
        <v>1368</v>
      </c>
      <c r="K35" s="32"/>
    </row>
    <row r="36" spans="1:11" ht="19.5" customHeight="1" thickBot="1" x14ac:dyDescent="0.2">
      <c r="A36" s="67"/>
      <c r="B36" s="26">
        <v>0</v>
      </c>
      <c r="C36" s="26">
        <f>( A35*(B36/100))</f>
        <v>0</v>
      </c>
      <c r="D36" s="69"/>
      <c r="E36" s="56">
        <v>21</v>
      </c>
      <c r="F36" s="33">
        <f>A35*0.21</f>
        <v>252</v>
      </c>
      <c r="G36" s="51">
        <v>7</v>
      </c>
      <c r="H36" s="49">
        <f>D35*0.07</f>
        <v>84.000000000000014</v>
      </c>
      <c r="I36" s="58"/>
      <c r="K36" s="32"/>
    </row>
    <row r="37" spans="1:11" ht="19.5" customHeight="1" x14ac:dyDescent="0.15">
      <c r="A37" s="18"/>
      <c r="D37" s="18"/>
      <c r="F37" s="52"/>
      <c r="J37" s="19"/>
      <c r="K37" s="19"/>
    </row>
    <row r="38" spans="1:11" x14ac:dyDescent="0.15">
      <c r="A38" s="55"/>
    </row>
    <row r="39" spans="1:11" x14ac:dyDescent="0.15">
      <c r="A39" s="59" t="s">
        <v>27</v>
      </c>
      <c r="B39" s="59"/>
      <c r="C39" s="59"/>
      <c r="D39" s="59"/>
      <c r="E39" s="59"/>
      <c r="F39" s="59"/>
      <c r="G39" s="59"/>
      <c r="H39" s="59"/>
      <c r="I39" s="59"/>
      <c r="J39" s="59"/>
      <c r="K39" s="15"/>
    </row>
    <row r="40" spans="1:11" x14ac:dyDescent="0.15">
      <c r="A40" s="59" t="s">
        <v>34</v>
      </c>
      <c r="B40" s="59"/>
      <c r="C40" s="59"/>
      <c r="D40" s="59"/>
      <c r="E40" s="59"/>
      <c r="F40" s="59"/>
      <c r="G40" s="59"/>
      <c r="H40" s="59"/>
      <c r="I40" s="59"/>
      <c r="J40" s="59"/>
      <c r="K40" s="10"/>
    </row>
    <row r="41" spans="1:11" x14ac:dyDescent="0.15">
      <c r="A41" s="59" t="s">
        <v>26</v>
      </c>
      <c r="B41" s="59"/>
      <c r="C41" s="59"/>
      <c r="D41" s="59"/>
      <c r="E41" s="59"/>
      <c r="F41" s="59"/>
      <c r="G41" s="59"/>
      <c r="H41" s="59"/>
      <c r="I41" s="59"/>
      <c r="J41" s="59"/>
    </row>
    <row r="42" spans="1:11" x14ac:dyDescent="0.15">
      <c r="A42" s="11" t="s">
        <v>35</v>
      </c>
    </row>
    <row r="43" spans="1:11" x14ac:dyDescent="0.1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</row>
  </sheetData>
  <mergeCells count="39">
    <mergeCell ref="F8:I8"/>
    <mergeCell ref="B9:C9"/>
    <mergeCell ref="F9:I9"/>
    <mergeCell ref="A10:A11"/>
    <mergeCell ref="B10:C11"/>
    <mergeCell ref="D10:D11"/>
    <mergeCell ref="F10:G10"/>
    <mergeCell ref="H10:I10"/>
    <mergeCell ref="F11:I11"/>
    <mergeCell ref="A12:B12"/>
    <mergeCell ref="C12:D12"/>
    <mergeCell ref="F12:I12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I35:I36"/>
    <mergeCell ref="A39:J39"/>
    <mergeCell ref="A40:J40"/>
    <mergeCell ref="A41:J41"/>
    <mergeCell ref="B33:E33"/>
    <mergeCell ref="B34:C34"/>
    <mergeCell ref="E34:F34"/>
    <mergeCell ref="G34:H34"/>
    <mergeCell ref="A35:A36"/>
    <mergeCell ref="D35:D36"/>
  </mergeCells>
  <pageMargins left="0.5" right="0.5" top="0.5" bottom="0.5" header="0.5" footer="0.5"/>
  <pageSetup paperSize="9" scale="9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Factura_</vt:lpstr>
      <vt:lpstr>Factura_!Área_de_impresión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Puesto1</dc:creator>
  <cp:lastModifiedBy>Isay</cp:lastModifiedBy>
  <cp:lastPrinted>2023-03-30T07:08:19Z</cp:lastPrinted>
  <dcterms:created xsi:type="dcterms:W3CDTF">2000-07-27T22:17:06Z</dcterms:created>
  <dcterms:modified xsi:type="dcterms:W3CDTF">2026-04-24T12:36:07Z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TC010184683082</vt:lpwstr>
  </property>
</Properties>
</file>